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HP\Desktop\NCC internship\"/>
    </mc:Choice>
  </mc:AlternateContent>
  <xr:revisionPtr revIDLastSave="0" documentId="8_{70C2A171-8B35-4DFE-8C9A-97289A79E91C}" xr6:coauthVersionLast="47" xr6:coauthVersionMax="47" xr10:uidLastSave="{00000000-0000-0000-0000-000000000000}"/>
  <bookViews>
    <workbookView xWindow="-108" yWindow="-108" windowWidth="23256" windowHeight="12576" xr2:uid="{570425FF-9A57-4905-B476-5A381C53727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N65" i="1"/>
  <c r="N64" i="1"/>
  <c r="N63" i="1"/>
  <c r="N62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3" i="1"/>
  <c r="N42" i="1"/>
  <c r="N41" i="1"/>
  <c r="N40" i="1"/>
  <c r="N39" i="1"/>
  <c r="N38" i="1"/>
  <c r="N37" i="1"/>
  <c r="N35" i="1"/>
  <c r="N34" i="1"/>
  <c r="N33" i="1"/>
  <c r="N32" i="1"/>
  <c r="N31" i="1"/>
  <c r="N30" i="1"/>
  <c r="N29" i="1"/>
  <c r="N28" i="1"/>
  <c r="N27" i="1"/>
  <c r="N26" i="1"/>
  <c r="N25" i="1"/>
  <c r="N23" i="1"/>
  <c r="N22" i="1"/>
  <c r="N21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M65" i="1"/>
  <c r="M64" i="1"/>
  <c r="M63" i="1"/>
  <c r="M62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3" i="1"/>
  <c r="M42" i="1"/>
  <c r="M41" i="1"/>
  <c r="M40" i="1"/>
  <c r="M39" i="1"/>
  <c r="K39" i="1"/>
  <c r="M38" i="1"/>
  <c r="M37" i="1"/>
  <c r="M35" i="1"/>
  <c r="M34" i="1"/>
  <c r="M33" i="1"/>
  <c r="M32" i="1"/>
  <c r="M31" i="1"/>
  <c r="M30" i="1"/>
  <c r="M29" i="1"/>
  <c r="M28" i="1"/>
  <c r="M27" i="1"/>
  <c r="M26" i="1"/>
  <c r="M25" i="1"/>
  <c r="M23" i="1"/>
  <c r="M21" i="1"/>
  <c r="M22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65" i="1"/>
  <c r="L64" i="1"/>
  <c r="L63" i="1"/>
  <c r="L62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3" i="1"/>
  <c r="L42" i="1"/>
  <c r="L41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3" i="1"/>
  <c r="L22" i="1"/>
  <c r="L21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65" i="1"/>
  <c r="K64" i="1"/>
  <c r="K63" i="1"/>
  <c r="K62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3" i="1"/>
  <c r="K42" i="1"/>
  <c r="K41" i="1"/>
  <c r="K40" i="1"/>
  <c r="K38" i="1"/>
  <c r="K37" i="1"/>
  <c r="K35" i="1"/>
  <c r="K34" i="1"/>
  <c r="K33" i="1"/>
  <c r="K32" i="1"/>
  <c r="K31" i="1"/>
  <c r="K30" i="1"/>
  <c r="K29" i="1"/>
  <c r="K28" i="1"/>
  <c r="K27" i="1"/>
  <c r="K26" i="1"/>
  <c r="K25" i="1"/>
  <c r="K23" i="1"/>
  <c r="K22" i="1"/>
  <c r="K21" i="1"/>
  <c r="K17" i="1"/>
  <c r="K16" i="1"/>
  <c r="K15" i="1"/>
  <c r="K14" i="1"/>
  <c r="K12" i="1"/>
  <c r="K13" i="1"/>
  <c r="K11" i="1"/>
  <c r="K10" i="1"/>
  <c r="K9" i="1"/>
  <c r="K8" i="1"/>
  <c r="K7" i="1"/>
  <c r="K6" i="1"/>
  <c r="K5" i="1"/>
  <c r="K4" i="1"/>
  <c r="M3" i="1"/>
  <c r="L3" i="1"/>
  <c r="I65" i="1"/>
  <c r="J65" i="1" s="1"/>
  <c r="I63" i="1"/>
  <c r="I59" i="1"/>
  <c r="J59" i="1" s="1"/>
  <c r="J62" i="1"/>
  <c r="J58" i="1"/>
  <c r="J57" i="1"/>
  <c r="I56" i="1"/>
  <c r="J56" i="1" s="1"/>
  <c r="I54" i="1"/>
  <c r="J54" i="1" s="1"/>
  <c r="I53" i="1"/>
  <c r="J53" i="1" s="1"/>
  <c r="J52" i="1"/>
  <c r="I51" i="1"/>
  <c r="I50" i="1"/>
  <c r="I49" i="1"/>
  <c r="I47" i="1"/>
  <c r="J47" i="1" s="1"/>
  <c r="I40" i="1"/>
  <c r="J40" i="1" s="1"/>
  <c r="J38" i="1"/>
  <c r="I43" i="1"/>
  <c r="J43" i="1" s="1"/>
  <c r="I42" i="1"/>
  <c r="J42" i="1" s="1"/>
  <c r="I41" i="1"/>
  <c r="J41" i="1" s="1"/>
  <c r="I39" i="1"/>
  <c r="J39" i="1" s="1"/>
  <c r="I38" i="1"/>
  <c r="I37" i="1"/>
  <c r="J37" i="1" s="1"/>
  <c r="I35" i="1"/>
  <c r="J35" i="1" s="1"/>
  <c r="I34" i="1"/>
  <c r="J34" i="1" s="1"/>
  <c r="I33" i="1"/>
  <c r="J33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3" i="1"/>
  <c r="J23" i="1" s="1"/>
  <c r="I22" i="1"/>
  <c r="J22" i="1" s="1"/>
  <c r="I21" i="1"/>
  <c r="J21" i="1" s="1"/>
  <c r="I17" i="1"/>
  <c r="J17" i="1" s="1"/>
  <c r="I16" i="1"/>
  <c r="J16" i="1" s="1"/>
  <c r="I15" i="1"/>
  <c r="J15" i="1" s="1"/>
  <c r="I14" i="1"/>
  <c r="J14" i="1" s="1"/>
  <c r="J5" i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4" i="1"/>
  <c r="J4" i="1" s="1"/>
  <c r="I7" i="1"/>
  <c r="J7" i="1" s="1"/>
  <c r="I6" i="1"/>
  <c r="J6" i="1" s="1"/>
  <c r="I3" i="1"/>
  <c r="J3" i="1" s="1"/>
  <c r="N3" i="1" l="1"/>
</calcChain>
</file>

<file path=xl/sharedStrings.xml><?xml version="1.0" encoding="utf-8"?>
<sst xmlns="http://schemas.openxmlformats.org/spreadsheetml/2006/main" count="216" uniqueCount="164">
  <si>
    <t>City/ Region Name</t>
  </si>
  <si>
    <t>Coordinates</t>
  </si>
  <si>
    <t xml:space="preserve">Building Name </t>
  </si>
  <si>
    <t>Comments</t>
  </si>
  <si>
    <t>Parcel ID</t>
  </si>
  <si>
    <t>Construction year</t>
  </si>
  <si>
    <t>Surface Top Area (m.sq)</t>
  </si>
  <si>
    <t xml:space="preserve">Building Height (m) </t>
  </si>
  <si>
    <t>Number of floors (assuming floor height = 3m)</t>
  </si>
  <si>
    <t>Total Built up Area</t>
  </si>
  <si>
    <t>UNDP methodology  for volume in m3</t>
  </si>
  <si>
    <t xml:space="preserve">UNDP methodology  for weight  in tonnes- lower </t>
  </si>
  <si>
    <t>UNDP methodology  for weight  in tonnes- higher</t>
  </si>
  <si>
    <t>WB methodology  for rubble generation weight in tonnes</t>
  </si>
  <si>
    <t>Dahye</t>
  </si>
  <si>
    <t>Al-Laylaki</t>
  </si>
  <si>
    <t>33.8325,35.51375</t>
  </si>
  <si>
    <t>Hassan Chokor Electricity and AC Maintenance</t>
  </si>
  <si>
    <t>3 buildings</t>
  </si>
  <si>
    <t>La_349</t>
  </si>
  <si>
    <t>-</t>
  </si>
  <si>
    <t>La_350</t>
  </si>
  <si>
    <t>La_351</t>
  </si>
  <si>
    <t xml:space="preserve">Al-Laylaki </t>
  </si>
  <si>
    <t>33.83324, 35.51565</t>
  </si>
  <si>
    <t>Across Alshater Hassan Butchery</t>
  </si>
  <si>
    <t>1 building</t>
  </si>
  <si>
    <t>La_315</t>
  </si>
  <si>
    <t>Borj Al Barajne</t>
  </si>
  <si>
    <t xml:space="preserve">33.83441,35.51089
</t>
  </si>
  <si>
    <t>Al Mahaba, Tahouitet El Ghadir</t>
  </si>
  <si>
    <t>4+ buildings</t>
  </si>
  <si>
    <t>Bb_3157</t>
  </si>
  <si>
    <t>Bb_264</t>
  </si>
  <si>
    <t>Bb_3159</t>
  </si>
  <si>
    <t>33.83494,35.51357</t>
  </si>
  <si>
    <t>Near Der Al Rahbet el Aazariye</t>
  </si>
  <si>
    <t>2 buildings</t>
  </si>
  <si>
    <t>La_156</t>
  </si>
  <si>
    <t>La_157</t>
  </si>
  <si>
    <t>Al Laylaki</t>
  </si>
  <si>
    <t>33.83398,35.51631</t>
  </si>
  <si>
    <t>Mashrouu' Al Malak, 3 buildings</t>
  </si>
  <si>
    <t>La_97</t>
  </si>
  <si>
    <r>
      <rPr>
        <sz val="12"/>
        <color rgb="FF000000"/>
        <rFont val="Aptos Narrow"/>
        <scheme val="minor"/>
      </rPr>
      <t xml:space="preserve">La_98 </t>
    </r>
    <r>
      <rPr>
        <sz val="12"/>
        <color rgb="FFFF0000"/>
        <rFont val="Aptos Narrow"/>
        <scheme val="minor"/>
      </rPr>
      <t>(mostly damaged)</t>
    </r>
  </si>
  <si>
    <t xml:space="preserve">La_99 </t>
  </si>
  <si>
    <t>33.83425,35.51678</t>
  </si>
  <si>
    <t>Family Supermarket</t>
  </si>
  <si>
    <t>Road connecting laylaki hadath, 2 buildings</t>
  </si>
  <si>
    <t>La_376</t>
  </si>
  <si>
    <t xml:space="preserve">no data, so Using Google Earth:
h ≈ 17.1 × cos(12°) ≈ 17.1 × 0.9744 ≈ 16.67 meters </t>
  </si>
  <si>
    <t xml:space="preserve">La_372 </t>
  </si>
  <si>
    <t xml:space="preserve">no data, so Using Google Earth:
h ≈ 19.19 × cos(12°) ≈ 18.77 meters </t>
  </si>
  <si>
    <t>La_101</t>
  </si>
  <si>
    <t>33.83544,35.49754</t>
  </si>
  <si>
    <t>Near Dekkenet Rafik</t>
  </si>
  <si>
    <t>Bb_1266</t>
  </si>
  <si>
    <t>Bb_1949</t>
  </si>
  <si>
    <t>33.84552,35.5103</t>
  </si>
  <si>
    <t>Near Al monshiya bakery</t>
  </si>
  <si>
    <t>5 buildings</t>
  </si>
  <si>
    <t>Bb_2051</t>
  </si>
  <si>
    <r>
      <rPr>
        <sz val="12"/>
        <color rgb="FF000000"/>
        <rFont val="Aptos Narrow"/>
        <scheme val="minor"/>
      </rPr>
      <t xml:space="preserve">Bb_2709 </t>
    </r>
    <r>
      <rPr>
        <sz val="12"/>
        <color rgb="FFFF0000"/>
        <rFont val="Aptos Narrow"/>
        <scheme val="minor"/>
      </rPr>
      <t>(half of it has bigger area)</t>
    </r>
  </si>
  <si>
    <t>253.73 or 333.57 (at 11.91)</t>
  </si>
  <si>
    <t xml:space="preserve">9(if we take into consideration the 2 areas)
 or 10  if we don't </t>
  </si>
  <si>
    <t xml:space="preserve"> 2,523.09 or 2,537.3</t>
  </si>
  <si>
    <t>2018.47 or  2029.84</t>
  </si>
  <si>
    <t>3,411.21 or 3430.43</t>
  </si>
  <si>
    <t>4541.56 or 4567.14</t>
  </si>
  <si>
    <t>4036.94 or 4059.68</t>
  </si>
  <si>
    <t>Bb_416</t>
  </si>
  <si>
    <r>
      <rPr>
        <sz val="12"/>
        <color rgb="FF000000"/>
        <rFont val="Aptos Narrow"/>
        <scheme val="minor"/>
      </rPr>
      <t>Bb_421</t>
    </r>
    <r>
      <rPr>
        <sz val="12"/>
        <color rgb="FFFF0000"/>
        <rFont val="Aptos Narrow"/>
        <scheme val="minor"/>
      </rPr>
      <t xml:space="preserve"> </t>
    </r>
  </si>
  <si>
    <t>33.84613,35.51044</t>
  </si>
  <si>
    <t>Vicinity of Al monshiya bakery</t>
  </si>
  <si>
    <t>Across Al Aytam Petrolium-Rweiss, 2 buildings</t>
  </si>
  <si>
    <t>Bb_418</t>
  </si>
  <si>
    <t>Ha_1073</t>
  </si>
  <si>
    <t>Haret Hreik</t>
  </si>
  <si>
    <t>33.84848,35.51002</t>
  </si>
  <si>
    <t>Near Hsayniyet Al Baajour</t>
  </si>
  <si>
    <t>Ha_2457</t>
  </si>
  <si>
    <t>Ha_1291</t>
  </si>
  <si>
    <t>Ha_1292</t>
  </si>
  <si>
    <t>33.84936,35.51085</t>
  </si>
  <si>
    <t>Near Stay fit gym</t>
  </si>
  <si>
    <t>Ha_726</t>
  </si>
  <si>
    <t xml:space="preserve">Haret Hreik </t>
  </si>
  <si>
    <t>33.85034,35.50797</t>
  </si>
  <si>
    <t>Ofok Building</t>
  </si>
  <si>
    <t>Ha_453</t>
  </si>
  <si>
    <t>Ha_452</t>
  </si>
  <si>
    <t>Across Ofok Building</t>
  </si>
  <si>
    <t>Ha_425</t>
  </si>
  <si>
    <t>no data, and on google earth it is
 not visible</t>
  </si>
  <si>
    <t>33.8509,35.50918</t>
  </si>
  <si>
    <t>Sub express</t>
  </si>
  <si>
    <t>Ha_2229</t>
  </si>
  <si>
    <t>Back of Sub express</t>
  </si>
  <si>
    <t>Ha_2226</t>
  </si>
  <si>
    <t>33.85679,35.51005</t>
  </si>
  <si>
    <t>Near Abou Samir Restaurant</t>
  </si>
  <si>
    <t>Ha_1072</t>
  </si>
  <si>
    <t>Chiah</t>
  </si>
  <si>
    <t>33.86016,35.51262</t>
  </si>
  <si>
    <t>Stars pizza store</t>
  </si>
  <si>
    <t>Between Chiah and Michel Zakkour Highway, next to all fix engineering consultant firm, 1 building</t>
  </si>
  <si>
    <t>Ch_117</t>
  </si>
  <si>
    <t xml:space="preserve">no data, Using Google Earth:
h ≈ 12.98 × cos(12°) ≈ 12.67 meters </t>
  </si>
  <si>
    <t>33.86164,35.51182</t>
  </si>
  <si>
    <t>Chiah and Hadi hassan nasrallah crossing, Across Rawda Building, 4-5 buildings</t>
  </si>
  <si>
    <t>Ch_166</t>
  </si>
  <si>
    <t>Ch_162</t>
  </si>
  <si>
    <t>Ch_3191</t>
  </si>
  <si>
    <t>South</t>
  </si>
  <si>
    <t>Aitaroun</t>
  </si>
  <si>
    <t>33.11649, 35.47205</t>
  </si>
  <si>
    <t>Municipality building of Aitaroun</t>
  </si>
  <si>
    <t>Nabatieh</t>
  </si>
  <si>
    <t>35.482354, 33.381113</t>
  </si>
  <si>
    <t>Municipality building of Nabatieh</t>
  </si>
  <si>
    <t>Majdel Selm</t>
  </si>
  <si>
    <t>33.219100, 35.466486</t>
  </si>
  <si>
    <t>Municipality building of majdel selm</t>
  </si>
  <si>
    <t>33.218978, 35.466117</t>
  </si>
  <si>
    <t>Across the municipality of majdel selem</t>
  </si>
  <si>
    <t>403.98 at 5.14m, 
279.8 at 8.69m</t>
  </si>
  <si>
    <t>33.218583, 35.466303</t>
  </si>
  <si>
    <t xml:space="preserve">349.97 at 9.71m,
 454.67 at 4.97m, 
462.23 at 2.84m </t>
  </si>
  <si>
    <t>33.218063, 35.467286</t>
  </si>
  <si>
    <t xml:space="preserve">41.89 at 7.29m,
 455.57 at 3.2m </t>
  </si>
  <si>
    <t>Bent Jbeil</t>
  </si>
  <si>
    <t>33.1289000, 35.4396667</t>
  </si>
  <si>
    <t>near ainata lake</t>
  </si>
  <si>
    <t>183.63 at 6.39m,
274.06 at 2.75m</t>
  </si>
  <si>
    <t xml:space="preserve">Bent Jbeil </t>
  </si>
  <si>
    <t>33.12987, 35.43935</t>
  </si>
  <si>
    <t xml:space="preserve">near ainata lake </t>
  </si>
  <si>
    <t>33.13022, 35.43896</t>
  </si>
  <si>
    <t>33.12889, 35.43833</t>
  </si>
  <si>
    <t>hsayniyet ainata</t>
  </si>
  <si>
    <t>it looks like it has a metal roof not
 concrete</t>
  </si>
  <si>
    <t>Yaroun</t>
  </si>
  <si>
    <t>33.08110, 35.42258</t>
  </si>
  <si>
    <t>33.08125, 35.42268</t>
  </si>
  <si>
    <t xml:space="preserve">Yaroun </t>
  </si>
  <si>
    <t xml:space="preserve">33.07963, 35.42652 </t>
  </si>
  <si>
    <t>33.08076, 35.42229</t>
  </si>
  <si>
    <t>Mhaibib</t>
  </si>
  <si>
    <t>33.1528917, 35.5033694</t>
  </si>
  <si>
    <t>33.1530611, 35.5031750</t>
  </si>
  <si>
    <t xml:space="preserve">181.14 at 5.75m,
270.35 at 2.5m </t>
  </si>
  <si>
    <t xml:space="preserve">Bekaa </t>
  </si>
  <si>
    <t>Al Ain</t>
  </si>
  <si>
    <t xml:space="preserve"> 34.2146, 36.3808</t>
  </si>
  <si>
    <t>minimum 2.04 
and max 4.2 (3.12 average)</t>
  </si>
  <si>
    <t xml:space="preserve">Bouday </t>
  </si>
  <si>
    <t>36.063105, 34.060317</t>
  </si>
  <si>
    <t>195.63 at 7.29m,
272.43 at 2.76m</t>
  </si>
  <si>
    <t>Bouday</t>
  </si>
  <si>
    <t>36.056922, 34.061581</t>
  </si>
  <si>
    <t>246.84 at 5.42m,
 359.06 at 2.97m</t>
  </si>
  <si>
    <t>36.061300, 34.062386</t>
  </si>
  <si>
    <t>Baalbek City</t>
  </si>
  <si>
    <t>36.218811, 34.005492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</si>
</sst>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charset val="1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/>
    <xf numFmtId="0" fontId="4" fillId="0" borderId="1" xfId="0" applyFont="1" applyBorder="1" applyAlignment="1">
      <alignment wrapText="1"/>
    </xf>
    <xf numFmtId="0" fontId="0" fillId="2" borderId="1" xfId="0" applyFill="1" applyBorder="1"/>
    <xf numFmtId="4" fontId="0" fillId="0" borderId="1" xfId="0" applyNumberForma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4" fontId="0" fillId="0" borderId="1" xfId="0" applyNumberFormat="1" applyBorder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4" borderId="0" xfId="0" applyFill="1"/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0" fontId="8" fillId="5" borderId="0" xfId="0" applyFont="1" applyFill="1" applyAlignment="1">
      <alignment wrapText="1"/>
    </xf>
    <xf numFmtId="0" fontId="0" fillId="5" borderId="0" xfId="0" applyFill="1"/>
    <xf numFmtId="4" fontId="0" fillId="4" borderId="0" xfId="0" applyNumberFormat="1" applyFill="1"/>
    <xf numFmtId="0" fontId="2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4A32-2A6A-46FC-8B9F-DC1EC50ADA73}">
  <dimension ref="A1:N66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5" customHeight="1"/>
  <cols>
    <col min="1" max="1" width="17.7109375" customWidth="1"/>
    <col min="2" max="2" width="22.28515625" customWidth="1"/>
    <col min="3" max="3" width="34.5703125" customWidth="1"/>
    <col min="4" max="4" width="26.5703125" customWidth="1"/>
    <col min="5" max="5" width="21.140625" customWidth="1"/>
    <col min="6" max="6" width="14" style="1" customWidth="1"/>
    <col min="7" max="7" width="16" customWidth="1"/>
    <col min="8" max="8" width="21" customWidth="1"/>
    <col min="9" max="9" width="20.140625" customWidth="1"/>
    <col min="10" max="10" width="12" customWidth="1"/>
    <col min="11" max="11" width="21" style="33" customWidth="1"/>
    <col min="12" max="13" width="21" style="38" customWidth="1"/>
    <col min="14" max="14" width="33.140625" style="36" customWidth="1"/>
    <col min="15" max="15" width="21.42578125" customWidth="1"/>
  </cols>
  <sheetData>
    <row r="1" spans="1:14" ht="57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30" t="s">
        <v>8</v>
      </c>
      <c r="J1" s="24" t="s">
        <v>9</v>
      </c>
      <c r="K1" s="34" t="s">
        <v>10</v>
      </c>
      <c r="L1" s="37" t="s">
        <v>11</v>
      </c>
      <c r="M1" s="37" t="s">
        <v>12</v>
      </c>
      <c r="N1" s="35" t="s">
        <v>13</v>
      </c>
    </row>
    <row r="2" spans="1:14" ht="19.5" customHeight="1">
      <c r="A2" s="47" t="s">
        <v>14</v>
      </c>
      <c r="B2" s="47"/>
      <c r="C2" s="47"/>
      <c r="D2" s="47"/>
      <c r="E2" s="47"/>
      <c r="F2" s="47"/>
      <c r="G2" s="47"/>
      <c r="H2" s="47"/>
      <c r="I2" s="48"/>
      <c r="J2" s="25"/>
    </row>
    <row r="3" spans="1:14" ht="20.25" customHeight="1">
      <c r="A3" s="46" t="s">
        <v>15</v>
      </c>
      <c r="B3" s="46" t="s">
        <v>16</v>
      </c>
      <c r="C3" s="46" t="s">
        <v>17</v>
      </c>
      <c r="D3" s="46" t="s">
        <v>18</v>
      </c>
      <c r="E3" s="7" t="s">
        <v>19</v>
      </c>
      <c r="F3" s="8" t="s">
        <v>20</v>
      </c>
      <c r="G3" s="7">
        <v>375.93</v>
      </c>
      <c r="H3" s="7">
        <v>23.9</v>
      </c>
      <c r="I3" s="31">
        <f>ROUNDUP(H3/3,0)</f>
        <v>8</v>
      </c>
      <c r="J3" s="26">
        <f>I3*G3</f>
        <v>3007.44</v>
      </c>
      <c r="K3" s="33">
        <f>J3*0.8</f>
        <v>2405.9520000000002</v>
      </c>
      <c r="L3" s="38">
        <f>K3*1.69</f>
        <v>4066.05888</v>
      </c>
      <c r="M3" s="38">
        <f>K3*2.25</f>
        <v>5413.3920000000007</v>
      </c>
      <c r="N3" s="36">
        <f>J3*1.6</f>
        <v>4811.9040000000005</v>
      </c>
    </row>
    <row r="4" spans="1:14" ht="18" customHeight="1">
      <c r="A4" s="46"/>
      <c r="B4" s="46"/>
      <c r="C4" s="46"/>
      <c r="D4" s="46"/>
      <c r="E4" s="7" t="s">
        <v>21</v>
      </c>
      <c r="F4" s="8" t="s">
        <v>20</v>
      </c>
      <c r="G4" s="7">
        <v>383.38</v>
      </c>
      <c r="H4" s="7">
        <v>23.94</v>
      </c>
      <c r="I4" s="31">
        <f>ROUNDUP(H4/3,0)</f>
        <v>8</v>
      </c>
      <c r="J4" s="26">
        <f>I4*G4</f>
        <v>3067.04</v>
      </c>
      <c r="K4" s="33">
        <f>J4*0.8</f>
        <v>2453.6320000000001</v>
      </c>
      <c r="L4" s="38">
        <f>K4*1.69</f>
        <v>4146.6380799999997</v>
      </c>
      <c r="M4" s="38">
        <f>K4*2.25</f>
        <v>5520.6720000000005</v>
      </c>
      <c r="N4" s="36">
        <f>J4*1.6</f>
        <v>4907.2640000000001</v>
      </c>
    </row>
    <row r="5" spans="1:14" ht="22.5" customHeight="1">
      <c r="A5" s="46"/>
      <c r="B5" s="46"/>
      <c r="C5" s="46"/>
      <c r="D5" s="46"/>
      <c r="E5" s="7" t="s">
        <v>22</v>
      </c>
      <c r="F5" s="8" t="s">
        <v>20</v>
      </c>
      <c r="G5" s="7">
        <v>355.75</v>
      </c>
      <c r="H5" s="7">
        <v>28.18</v>
      </c>
      <c r="I5" s="31">
        <v>9</v>
      </c>
      <c r="J5" s="26">
        <f>I5*G5</f>
        <v>3201.75</v>
      </c>
      <c r="K5" s="33">
        <f>J5*0.8</f>
        <v>2561.4</v>
      </c>
      <c r="L5" s="38">
        <f>K5*1.69</f>
        <v>4328.7659999999996</v>
      </c>
      <c r="M5" s="38">
        <f>K5*2.25</f>
        <v>5763.1500000000005</v>
      </c>
      <c r="N5" s="36">
        <f>J5*1.6</f>
        <v>5122.8</v>
      </c>
    </row>
    <row r="6" spans="1:14" ht="34.5" customHeight="1">
      <c r="A6" s="6" t="s">
        <v>23</v>
      </c>
      <c r="B6" s="6" t="s">
        <v>24</v>
      </c>
      <c r="C6" s="6" t="s">
        <v>25</v>
      </c>
      <c r="D6" s="6" t="s">
        <v>26</v>
      </c>
      <c r="E6" s="17" t="s">
        <v>27</v>
      </c>
      <c r="F6" s="40">
        <v>2009</v>
      </c>
      <c r="G6" s="17">
        <v>395.79</v>
      </c>
      <c r="H6" s="17">
        <v>33.71</v>
      </c>
      <c r="I6" s="41">
        <f>ROUNDUP(H6/3,0)</f>
        <v>12</v>
      </c>
      <c r="J6" s="42">
        <f>I6*G6</f>
        <v>4749.4800000000005</v>
      </c>
      <c r="K6" s="43">
        <f>J6*0.8</f>
        <v>3799.5840000000007</v>
      </c>
      <c r="L6" s="44">
        <f>K6*1.69</f>
        <v>6421.2969600000015</v>
      </c>
      <c r="M6" s="44">
        <f>K6*2.25</f>
        <v>8549.0640000000021</v>
      </c>
      <c r="N6" s="45">
        <f>J6*1.6</f>
        <v>7599.1680000000015</v>
      </c>
    </row>
    <row r="7" spans="1:14" ht="15.75" customHeight="1">
      <c r="A7" s="46" t="s">
        <v>28</v>
      </c>
      <c r="B7" s="46" t="s">
        <v>29</v>
      </c>
      <c r="C7" s="46" t="s">
        <v>30</v>
      </c>
      <c r="D7" s="46" t="s">
        <v>31</v>
      </c>
      <c r="E7" s="7" t="s">
        <v>32</v>
      </c>
      <c r="F7" s="8">
        <v>1992</v>
      </c>
      <c r="G7" s="7">
        <v>635.64</v>
      </c>
      <c r="H7" s="7">
        <v>22.8</v>
      </c>
      <c r="I7" s="31">
        <f>ROUNDUP(H7/3,0)</f>
        <v>8</v>
      </c>
      <c r="J7" s="10">
        <f>I7*G7</f>
        <v>5085.12</v>
      </c>
      <c r="K7" s="33">
        <f>J7*0.8</f>
        <v>4068.096</v>
      </c>
      <c r="L7" s="38">
        <f>K7*1.69</f>
        <v>6875.0822399999997</v>
      </c>
      <c r="M7" s="38">
        <f>K7*2.25</f>
        <v>9153.2160000000003</v>
      </c>
      <c r="N7" s="36">
        <f>J7*1.6</f>
        <v>8136.192</v>
      </c>
    </row>
    <row r="8" spans="1:14" ht="15.75">
      <c r="A8" s="46"/>
      <c r="B8" s="46"/>
      <c r="C8" s="46"/>
      <c r="D8" s="46"/>
      <c r="E8" s="7" t="s">
        <v>33</v>
      </c>
      <c r="F8" s="8">
        <v>1995</v>
      </c>
      <c r="G8" s="7">
        <v>551.9</v>
      </c>
      <c r="H8" s="7">
        <v>27.52</v>
      </c>
      <c r="I8" s="31">
        <f>ROUNDUP(H8/3,0)</f>
        <v>10</v>
      </c>
      <c r="J8" s="10">
        <f>I8*G8</f>
        <v>5519</v>
      </c>
      <c r="K8" s="33">
        <f>J8*0.8</f>
        <v>4415.2</v>
      </c>
      <c r="L8" s="38">
        <f>K8*1.69</f>
        <v>7461.6879999999992</v>
      </c>
      <c r="M8" s="38">
        <f>K8*2.25</f>
        <v>9934.1999999999989</v>
      </c>
      <c r="N8" s="36">
        <f>J8*1.6</f>
        <v>8830.4</v>
      </c>
    </row>
    <row r="9" spans="1:14" ht="33" customHeight="1">
      <c r="A9" s="46"/>
      <c r="B9" s="46"/>
      <c r="C9" s="46"/>
      <c r="D9" s="46"/>
      <c r="E9" s="7" t="s">
        <v>34</v>
      </c>
      <c r="F9" s="8">
        <v>1992</v>
      </c>
      <c r="G9" s="7">
        <v>867.05</v>
      </c>
      <c r="H9" s="7">
        <v>26.99</v>
      </c>
      <c r="I9" s="31">
        <f>ROUNDUP(H9/3,0)</f>
        <v>9</v>
      </c>
      <c r="J9" s="10">
        <f>I9*G9</f>
        <v>7803.45</v>
      </c>
      <c r="K9" s="33">
        <f>J9*0.8</f>
        <v>6242.76</v>
      </c>
      <c r="L9" s="38">
        <f>K9*1.69</f>
        <v>10550.2644</v>
      </c>
      <c r="M9" s="38">
        <f>K9*2.25</f>
        <v>14046.210000000001</v>
      </c>
      <c r="N9" s="36">
        <f>J9*1.6</f>
        <v>12485.52</v>
      </c>
    </row>
    <row r="10" spans="1:14" ht="18.75" customHeight="1">
      <c r="A10" s="46" t="s">
        <v>28</v>
      </c>
      <c r="B10" s="46" t="s">
        <v>35</v>
      </c>
      <c r="C10" s="46" t="s">
        <v>36</v>
      </c>
      <c r="D10" s="46" t="s">
        <v>37</v>
      </c>
      <c r="E10" s="7" t="s">
        <v>38</v>
      </c>
      <c r="F10" s="8">
        <v>2018</v>
      </c>
      <c r="G10" s="7">
        <v>420.93</v>
      </c>
      <c r="H10" s="7">
        <v>27.6</v>
      </c>
      <c r="I10" s="31">
        <f>ROUNDUP(H10/3,0)</f>
        <v>10</v>
      </c>
      <c r="J10" s="10">
        <f>I10*G10</f>
        <v>4209.3</v>
      </c>
      <c r="K10" s="33">
        <f>J10*0.8</f>
        <v>3367.4400000000005</v>
      </c>
      <c r="L10" s="38">
        <f>K10*1.69</f>
        <v>5690.9736000000003</v>
      </c>
      <c r="M10" s="38">
        <f>K10*2.25</f>
        <v>7576.7400000000016</v>
      </c>
      <c r="N10" s="36">
        <f>J10*1.6</f>
        <v>6734.880000000001</v>
      </c>
    </row>
    <row r="11" spans="1:14" ht="18.75" customHeight="1">
      <c r="A11" s="46"/>
      <c r="B11" s="46"/>
      <c r="C11" s="46"/>
      <c r="D11" s="46"/>
      <c r="E11" s="7" t="s">
        <v>39</v>
      </c>
      <c r="F11" s="8" t="s">
        <v>20</v>
      </c>
      <c r="G11" s="7">
        <v>612.74</v>
      </c>
      <c r="H11" s="7">
        <v>28.9</v>
      </c>
      <c r="I11" s="31">
        <f>ROUNDUP(H11/3,0)</f>
        <v>10</v>
      </c>
      <c r="J11" s="10">
        <f>I11*G11</f>
        <v>6127.4</v>
      </c>
      <c r="K11" s="33">
        <f>J11*0.8</f>
        <v>4901.92</v>
      </c>
      <c r="L11" s="38">
        <f>K11*1.69</f>
        <v>8284.2448000000004</v>
      </c>
      <c r="M11" s="38">
        <f>K11*2.25</f>
        <v>11029.32</v>
      </c>
      <c r="N11" s="36">
        <f>J11*1.6</f>
        <v>9803.84</v>
      </c>
    </row>
    <row r="12" spans="1:14" ht="24.75" customHeight="1">
      <c r="A12" s="46" t="s">
        <v>40</v>
      </c>
      <c r="B12" s="46" t="s">
        <v>41</v>
      </c>
      <c r="C12" s="46"/>
      <c r="D12" s="46" t="s">
        <v>42</v>
      </c>
      <c r="E12" s="7" t="s">
        <v>43</v>
      </c>
      <c r="F12" s="8" t="s">
        <v>20</v>
      </c>
      <c r="G12" s="7">
        <v>235.16</v>
      </c>
      <c r="H12" s="7">
        <v>3.71</v>
      </c>
      <c r="I12" s="31">
        <f>ROUNDUP(H12/3,0)</f>
        <v>2</v>
      </c>
      <c r="J12" s="10">
        <f>I12*G12</f>
        <v>470.32</v>
      </c>
      <c r="K12" s="33">
        <f>J12*1.1</f>
        <v>517.35200000000009</v>
      </c>
      <c r="L12" s="38">
        <f>K12*1.69</f>
        <v>874.32488000000012</v>
      </c>
      <c r="M12" s="38">
        <f>K12*2.25</f>
        <v>1164.0420000000001</v>
      </c>
      <c r="N12" s="36">
        <f>J12*1.6</f>
        <v>752.51200000000006</v>
      </c>
    </row>
    <row r="13" spans="1:14" ht="37.5" customHeight="1">
      <c r="A13" s="46"/>
      <c r="B13" s="46"/>
      <c r="C13" s="46"/>
      <c r="D13" s="46"/>
      <c r="E13" s="11" t="s">
        <v>44</v>
      </c>
      <c r="F13" s="12" t="s">
        <v>20</v>
      </c>
      <c r="G13" s="7">
        <v>303.07</v>
      </c>
      <c r="H13" s="7">
        <v>3.35</v>
      </c>
      <c r="I13" s="31">
        <f>ROUNDUP(H13/3,0)</f>
        <v>2</v>
      </c>
      <c r="J13" s="10">
        <f>I13*G13</f>
        <v>606.14</v>
      </c>
      <c r="K13" s="33">
        <f>J13*1.1</f>
        <v>666.75400000000002</v>
      </c>
      <c r="L13" s="38">
        <f>K13*1.69</f>
        <v>1126.8142600000001</v>
      </c>
      <c r="M13" s="38">
        <f>K13*2.25</f>
        <v>1500.1965</v>
      </c>
      <c r="N13" s="36">
        <f>J13*1.6</f>
        <v>969.82400000000007</v>
      </c>
    </row>
    <row r="14" spans="1:14" ht="15.75">
      <c r="A14" s="46"/>
      <c r="B14" s="46"/>
      <c r="C14" s="46"/>
      <c r="D14" s="46"/>
      <c r="E14" s="11" t="s">
        <v>45</v>
      </c>
      <c r="F14" s="12">
        <v>1997</v>
      </c>
      <c r="G14" s="7">
        <v>481.49</v>
      </c>
      <c r="H14" s="7">
        <v>24.15</v>
      </c>
      <c r="I14" s="31">
        <f>ROUNDUP(H14/3,0)</f>
        <v>9</v>
      </c>
      <c r="J14" s="10">
        <f>I14*G14</f>
        <v>4333.41</v>
      </c>
      <c r="K14" s="33">
        <f>J14*0.8</f>
        <v>3466.7280000000001</v>
      </c>
      <c r="L14" s="38">
        <f>K14*1.69</f>
        <v>5858.7703199999996</v>
      </c>
      <c r="M14" s="38">
        <f>K14*2.25</f>
        <v>7800.1379999999999</v>
      </c>
      <c r="N14" s="36">
        <f>J14*1.6</f>
        <v>6933.4560000000001</v>
      </c>
    </row>
    <row r="15" spans="1:14" ht="72.75" customHeight="1">
      <c r="A15" s="46" t="s">
        <v>40</v>
      </c>
      <c r="B15" s="46" t="s">
        <v>46</v>
      </c>
      <c r="C15" s="46" t="s">
        <v>47</v>
      </c>
      <c r="D15" s="46" t="s">
        <v>48</v>
      </c>
      <c r="E15" s="11" t="s">
        <v>49</v>
      </c>
      <c r="F15" s="12" t="s">
        <v>20</v>
      </c>
      <c r="G15" s="7">
        <v>418.07</v>
      </c>
      <c r="H15" s="7" t="s">
        <v>50</v>
      </c>
      <c r="I15" s="31">
        <f>ROUNDUP(16.67/3,0)</f>
        <v>6</v>
      </c>
      <c r="J15" s="10">
        <f>I15*G15</f>
        <v>2508.42</v>
      </c>
      <c r="K15" s="33">
        <f>J15*0.8</f>
        <v>2006.7360000000001</v>
      </c>
      <c r="L15" s="38">
        <f>K15*1.69</f>
        <v>3391.38384</v>
      </c>
      <c r="M15" s="38">
        <f>K15*2.25</f>
        <v>4515.1559999999999</v>
      </c>
      <c r="N15" s="36">
        <f>J15*1.6</f>
        <v>4013.4720000000002</v>
      </c>
    </row>
    <row r="16" spans="1:14" ht="72.75" customHeight="1">
      <c r="A16" s="46"/>
      <c r="B16" s="46"/>
      <c r="C16" s="46"/>
      <c r="D16" s="46"/>
      <c r="E16" s="11" t="s">
        <v>51</v>
      </c>
      <c r="F16" s="12">
        <v>2012</v>
      </c>
      <c r="G16" s="7">
        <v>420.93</v>
      </c>
      <c r="H16" s="7" t="s">
        <v>52</v>
      </c>
      <c r="I16" s="31">
        <f>ROUNDUP(18.77/3,0)</f>
        <v>7</v>
      </c>
      <c r="J16" s="10">
        <f>I16*G16</f>
        <v>2946.51</v>
      </c>
      <c r="K16" s="33">
        <f>J16*0.8</f>
        <v>2357.2080000000001</v>
      </c>
      <c r="L16" s="38">
        <f>K16*1.69</f>
        <v>3983.6815200000001</v>
      </c>
      <c r="M16" s="38">
        <f>K16*2.25</f>
        <v>5303.7179999999998</v>
      </c>
      <c r="N16" s="36">
        <f>J16*1.6</f>
        <v>4714.4160000000002</v>
      </c>
    </row>
    <row r="17" spans="1:14" ht="15.75">
      <c r="A17" s="46"/>
      <c r="B17" s="46"/>
      <c r="C17" s="46"/>
      <c r="D17" s="46"/>
      <c r="E17" s="7" t="s">
        <v>53</v>
      </c>
      <c r="F17" s="8" t="s">
        <v>20</v>
      </c>
      <c r="G17" s="7">
        <v>187.95</v>
      </c>
      <c r="H17" s="7">
        <v>3.37</v>
      </c>
      <c r="I17" s="31">
        <f>ROUNDUP(H17/3,0)</f>
        <v>2</v>
      </c>
      <c r="J17" s="10">
        <f>I17*G17</f>
        <v>375.9</v>
      </c>
      <c r="K17" s="33">
        <f>J17*1.1</f>
        <v>413.49</v>
      </c>
      <c r="L17" s="38">
        <f>K17*1.69</f>
        <v>698.79809999999998</v>
      </c>
      <c r="M17" s="38">
        <f>K17*2.25</f>
        <v>930.35249999999996</v>
      </c>
      <c r="N17" s="36">
        <f>J17*1.6</f>
        <v>601.43999999999994</v>
      </c>
    </row>
    <row r="18" spans="1:14" ht="15.75">
      <c r="A18" s="13"/>
      <c r="B18" s="13"/>
      <c r="C18" s="13"/>
      <c r="D18" s="13"/>
      <c r="E18" s="14"/>
      <c r="F18" s="8"/>
      <c r="G18" s="14"/>
      <c r="H18" s="14"/>
      <c r="I18" s="32"/>
      <c r="J18" s="27"/>
    </row>
    <row r="19" spans="1:14" ht="36" customHeight="1">
      <c r="A19" s="13"/>
      <c r="B19" s="13"/>
      <c r="C19" s="13"/>
      <c r="D19" s="13"/>
      <c r="E19" s="14"/>
      <c r="F19" s="8"/>
      <c r="G19" s="14"/>
      <c r="H19" s="14"/>
      <c r="I19" s="32"/>
      <c r="J19" s="27"/>
    </row>
    <row r="20" spans="1:14" ht="15.75">
      <c r="A20" s="13"/>
      <c r="B20" s="13"/>
      <c r="C20" s="13"/>
      <c r="D20" s="13"/>
      <c r="E20" s="14"/>
      <c r="F20" s="8"/>
      <c r="G20" s="14"/>
      <c r="H20" s="14"/>
      <c r="I20" s="32"/>
      <c r="J20" s="27"/>
    </row>
    <row r="21" spans="1:14" ht="15.75">
      <c r="A21" s="46" t="s">
        <v>28</v>
      </c>
      <c r="B21" s="46" t="s">
        <v>54</v>
      </c>
      <c r="C21" s="46" t="s">
        <v>55</v>
      </c>
      <c r="D21" s="46" t="s">
        <v>37</v>
      </c>
      <c r="E21" s="7" t="s">
        <v>56</v>
      </c>
      <c r="F21" s="8" t="s">
        <v>20</v>
      </c>
      <c r="G21" s="7">
        <v>148.38</v>
      </c>
      <c r="H21" s="7">
        <v>9.74</v>
      </c>
      <c r="I21" s="31">
        <f>ROUNDUP(H21/3,0)</f>
        <v>4</v>
      </c>
      <c r="J21" s="10">
        <f>I21*G21</f>
        <v>593.52</v>
      </c>
      <c r="K21" s="33">
        <f>J21*0.8</f>
        <v>474.81600000000003</v>
      </c>
      <c r="L21" s="38">
        <f>K21*1.69</f>
        <v>802.43903999999998</v>
      </c>
      <c r="M21" s="38">
        <f>K21*2.25</f>
        <v>1068.336</v>
      </c>
      <c r="N21" s="36">
        <f>J21*1.6</f>
        <v>949.63200000000006</v>
      </c>
    </row>
    <row r="22" spans="1:14" ht="15.75">
      <c r="A22" s="46"/>
      <c r="B22" s="46"/>
      <c r="C22" s="46"/>
      <c r="D22" s="46"/>
      <c r="E22" s="15" t="s">
        <v>57</v>
      </c>
      <c r="F22" s="16"/>
      <c r="G22" s="7">
        <v>244.78</v>
      </c>
      <c r="H22" s="7">
        <v>5.38</v>
      </c>
      <c r="I22" s="31">
        <f>ROUNDUP(H22/3,0)</f>
        <v>2</v>
      </c>
      <c r="J22" s="10">
        <f>I22*G22</f>
        <v>489.56</v>
      </c>
      <c r="K22" s="33">
        <f>J22*1.1</f>
        <v>538.51600000000008</v>
      </c>
      <c r="L22" s="38">
        <f>K22*1.6</f>
        <v>861.62560000000019</v>
      </c>
      <c r="M22" s="38">
        <f>K22*2.25</f>
        <v>1211.6610000000001</v>
      </c>
      <c r="N22" s="36">
        <f>J22*1.6</f>
        <v>783.29600000000005</v>
      </c>
    </row>
    <row r="23" spans="1:14" ht="15.75">
      <c r="A23" s="46" t="s">
        <v>28</v>
      </c>
      <c r="B23" s="46" t="s">
        <v>58</v>
      </c>
      <c r="C23" s="46" t="s">
        <v>59</v>
      </c>
      <c r="D23" s="46" t="s">
        <v>60</v>
      </c>
      <c r="E23" s="7" t="s">
        <v>61</v>
      </c>
      <c r="F23" s="8">
        <v>2005</v>
      </c>
      <c r="G23" s="7">
        <v>143.18</v>
      </c>
      <c r="H23" s="7">
        <v>3</v>
      </c>
      <c r="I23" s="31">
        <f>ROUNDUP(H23/3,0)</f>
        <v>1</v>
      </c>
      <c r="J23" s="10">
        <f>I23*G23</f>
        <v>143.18</v>
      </c>
      <c r="K23" s="33">
        <f>J23*1.1</f>
        <v>157.49800000000002</v>
      </c>
      <c r="L23" s="38">
        <f>K23*1.69</f>
        <v>266.17162000000002</v>
      </c>
      <c r="M23" s="38">
        <f>K23*2.25</f>
        <v>354.37050000000005</v>
      </c>
      <c r="N23" s="36">
        <f>J23*1.6</f>
        <v>229.08800000000002</v>
      </c>
    </row>
    <row r="24" spans="1:14" ht="60.75" customHeight="1">
      <c r="A24" s="46"/>
      <c r="B24" s="46"/>
      <c r="C24" s="46"/>
      <c r="D24" s="46"/>
      <c r="E24" s="11" t="s">
        <v>62</v>
      </c>
      <c r="F24" s="12">
        <v>2018</v>
      </c>
      <c r="G24" s="7" t="s">
        <v>63</v>
      </c>
      <c r="H24" s="7">
        <v>30.73</v>
      </c>
      <c r="I24" s="31" t="s">
        <v>64</v>
      </c>
      <c r="J24" s="26" t="s">
        <v>65</v>
      </c>
      <c r="K24" s="39" t="s">
        <v>66</v>
      </c>
      <c r="L24" s="38" t="s">
        <v>67</v>
      </c>
      <c r="M24" s="38" t="s">
        <v>68</v>
      </c>
      <c r="N24" s="36" t="s">
        <v>69</v>
      </c>
    </row>
    <row r="25" spans="1:14" ht="15.75">
      <c r="A25" s="46"/>
      <c r="B25" s="46"/>
      <c r="C25" s="46"/>
      <c r="D25" s="46"/>
      <c r="E25" s="7" t="s">
        <v>70</v>
      </c>
      <c r="F25" s="8">
        <v>2008</v>
      </c>
      <c r="G25" s="7">
        <v>376.79</v>
      </c>
      <c r="H25" s="7">
        <v>3.65</v>
      </c>
      <c r="I25" s="31">
        <f>ROUNDUP(H25/3,0)</f>
        <v>2</v>
      </c>
      <c r="J25" s="10">
        <f>I25*G25</f>
        <v>753.58</v>
      </c>
      <c r="K25" s="33">
        <f>J25*1.1</f>
        <v>828.9380000000001</v>
      </c>
      <c r="L25" s="38">
        <f>K25*1.69</f>
        <v>1400.9052200000001</v>
      </c>
      <c r="M25" s="38">
        <f>K25*2.25</f>
        <v>1865.1105000000002</v>
      </c>
      <c r="N25" s="36">
        <f>J25*1.6</f>
        <v>1205.7280000000001</v>
      </c>
    </row>
    <row r="26" spans="1:14" ht="15.75">
      <c r="A26" s="46"/>
      <c r="B26" s="46"/>
      <c r="C26" s="46"/>
      <c r="D26" s="46"/>
      <c r="E26" s="7" t="s">
        <v>70</v>
      </c>
      <c r="F26" s="8"/>
      <c r="G26" s="7">
        <v>292.41000000000003</v>
      </c>
      <c r="H26" s="7">
        <v>11.69</v>
      </c>
      <c r="I26" s="31">
        <f>ROUNDUP(H26/3,0)</f>
        <v>4</v>
      </c>
      <c r="J26" s="10">
        <f>I26*G26</f>
        <v>1169.6400000000001</v>
      </c>
      <c r="K26" s="33">
        <f>J26*0.8</f>
        <v>935.7120000000001</v>
      </c>
      <c r="L26" s="38">
        <f>K26*1.69</f>
        <v>1581.35328</v>
      </c>
      <c r="M26" s="38">
        <f>K26*2.25</f>
        <v>2105.3520000000003</v>
      </c>
      <c r="N26" s="36">
        <f>J26*1.6</f>
        <v>1871.4240000000002</v>
      </c>
    </row>
    <row r="27" spans="1:14" ht="15.75">
      <c r="A27" s="46"/>
      <c r="B27" s="46"/>
      <c r="C27" s="46"/>
      <c r="D27" s="46"/>
      <c r="E27" s="11" t="s">
        <v>71</v>
      </c>
      <c r="F27" s="12"/>
      <c r="G27" s="7">
        <v>164.83</v>
      </c>
      <c r="H27" s="7">
        <v>15.3</v>
      </c>
      <c r="I27" s="31">
        <f>ROUNDUP(H27/3,0)</f>
        <v>6</v>
      </c>
      <c r="J27" s="10">
        <f>I27*G27</f>
        <v>988.98</v>
      </c>
      <c r="K27" s="33">
        <f>J27*0.8</f>
        <v>791.18400000000008</v>
      </c>
      <c r="L27" s="38">
        <f>K27*1.69</f>
        <v>1337.10096</v>
      </c>
      <c r="M27" s="38">
        <f>K27*2.25</f>
        <v>1780.1640000000002</v>
      </c>
      <c r="N27" s="36">
        <f>J27*1.6</f>
        <v>1582.3680000000002</v>
      </c>
    </row>
    <row r="28" spans="1:14" ht="15.75">
      <c r="A28" s="46" t="s">
        <v>28</v>
      </c>
      <c r="B28" s="46" t="s">
        <v>72</v>
      </c>
      <c r="C28" s="46" t="s">
        <v>73</v>
      </c>
      <c r="D28" s="46" t="s">
        <v>74</v>
      </c>
      <c r="E28" s="7" t="s">
        <v>75</v>
      </c>
      <c r="F28" s="8" t="s">
        <v>20</v>
      </c>
      <c r="G28" s="7">
        <v>344.12</v>
      </c>
      <c r="H28" s="7">
        <v>30.86</v>
      </c>
      <c r="I28" s="31">
        <f>ROUNDUP(H28/3,0)</f>
        <v>11</v>
      </c>
      <c r="J28" s="10">
        <f>I28*G28</f>
        <v>3785.32</v>
      </c>
      <c r="K28" s="33">
        <f>J28*0.8</f>
        <v>3028.2560000000003</v>
      </c>
      <c r="L28" s="38">
        <f>K28*1.69</f>
        <v>5117.7526400000006</v>
      </c>
      <c r="M28" s="38">
        <f>K28*2.25</f>
        <v>6813.5760000000009</v>
      </c>
      <c r="N28" s="36">
        <f>J28*1.6</f>
        <v>6056.5120000000006</v>
      </c>
    </row>
    <row r="29" spans="1:14" ht="28.5" customHeight="1">
      <c r="A29" s="46"/>
      <c r="B29" s="46"/>
      <c r="C29" s="46"/>
      <c r="D29" s="46"/>
      <c r="E29" s="15" t="s">
        <v>76</v>
      </c>
      <c r="F29" s="16" t="s">
        <v>20</v>
      </c>
      <c r="G29" s="7">
        <v>186.73</v>
      </c>
      <c r="H29" s="7">
        <v>34.29</v>
      </c>
      <c r="I29" s="31">
        <f>ROUNDUP(H29/3,0)</f>
        <v>12</v>
      </c>
      <c r="J29" s="10">
        <f>I29*G29</f>
        <v>2240.7599999999998</v>
      </c>
      <c r="K29" s="33">
        <f>J29*0.8</f>
        <v>1792.6079999999999</v>
      </c>
      <c r="L29" s="38">
        <f>K29*1.69</f>
        <v>3029.5075199999997</v>
      </c>
      <c r="M29" s="38">
        <f>K29*2.25</f>
        <v>4033.3679999999999</v>
      </c>
      <c r="N29" s="36">
        <f>J29*1.6</f>
        <v>3585.2159999999999</v>
      </c>
    </row>
    <row r="30" spans="1:14" ht="15.75">
      <c r="A30" s="46" t="s">
        <v>77</v>
      </c>
      <c r="B30" s="46" t="s">
        <v>78</v>
      </c>
      <c r="C30" s="46" t="s">
        <v>79</v>
      </c>
      <c r="D30" s="46" t="s">
        <v>18</v>
      </c>
      <c r="E30" s="15" t="s">
        <v>80</v>
      </c>
      <c r="F30" s="16">
        <v>1997</v>
      </c>
      <c r="G30" s="7">
        <v>391.39</v>
      </c>
      <c r="H30" s="7">
        <v>23.29</v>
      </c>
      <c r="I30" s="31">
        <f>ROUNDUP(H30/3,0)</f>
        <v>8</v>
      </c>
      <c r="J30" s="10">
        <f>I30*G30</f>
        <v>3131.12</v>
      </c>
      <c r="K30" s="33">
        <f>J30*0.8</f>
        <v>2504.8960000000002</v>
      </c>
      <c r="L30" s="38">
        <f>K30*1.69</f>
        <v>4233.2742399999997</v>
      </c>
      <c r="M30" s="38">
        <f>K30*2.25</f>
        <v>5636.0160000000005</v>
      </c>
      <c r="N30" s="36">
        <f>J30*1.6</f>
        <v>5009.7920000000004</v>
      </c>
    </row>
    <row r="31" spans="1:14" ht="15.75">
      <c r="A31" s="46"/>
      <c r="B31" s="46"/>
      <c r="C31" s="46"/>
      <c r="D31" s="46"/>
      <c r="E31" s="15" t="s">
        <v>81</v>
      </c>
      <c r="F31" s="16" t="s">
        <v>20</v>
      </c>
      <c r="G31" s="7">
        <v>64.88</v>
      </c>
      <c r="H31" s="7">
        <v>3.3</v>
      </c>
      <c r="I31" s="31">
        <f>ROUNDUP(H31/3,0)</f>
        <v>2</v>
      </c>
      <c r="J31" s="10">
        <f>I31*G31</f>
        <v>129.76</v>
      </c>
      <c r="K31" s="33">
        <f>J31*1.1</f>
        <v>142.73599999999999</v>
      </c>
      <c r="L31" s="38">
        <f>K31*1.69</f>
        <v>241.22383999999997</v>
      </c>
      <c r="M31" s="38">
        <f>K31*2.25</f>
        <v>321.15599999999995</v>
      </c>
      <c r="N31" s="36">
        <f>J31*1.6</f>
        <v>207.61599999999999</v>
      </c>
    </row>
    <row r="32" spans="1:14" ht="15.75">
      <c r="A32" s="46"/>
      <c r="B32" s="46"/>
      <c r="C32" s="46"/>
      <c r="D32" s="46"/>
      <c r="E32" s="15" t="s">
        <v>82</v>
      </c>
      <c r="F32" s="16" t="s">
        <v>20</v>
      </c>
      <c r="G32" s="7">
        <v>186.08</v>
      </c>
      <c r="H32" s="7">
        <v>2.92</v>
      </c>
      <c r="I32" s="31">
        <v>1</v>
      </c>
      <c r="J32" s="10">
        <v>186.08</v>
      </c>
      <c r="K32" s="33">
        <f>J32*1.1</f>
        <v>204.68800000000002</v>
      </c>
      <c r="L32" s="38">
        <f>K32*1.69</f>
        <v>345.92272000000003</v>
      </c>
      <c r="M32" s="38">
        <f>K32*2.25</f>
        <v>460.54800000000006</v>
      </c>
      <c r="N32" s="36">
        <f>J32*1.6</f>
        <v>297.72800000000001</v>
      </c>
    </row>
    <row r="33" spans="1:14" ht="15.75">
      <c r="A33" s="9" t="s">
        <v>77</v>
      </c>
      <c r="B33" s="9" t="s">
        <v>83</v>
      </c>
      <c r="C33" s="9" t="s">
        <v>84</v>
      </c>
      <c r="D33" s="9" t="s">
        <v>26</v>
      </c>
      <c r="E33" s="7" t="s">
        <v>85</v>
      </c>
      <c r="F33" s="8" t="s">
        <v>20</v>
      </c>
      <c r="G33" s="7">
        <v>422.52</v>
      </c>
      <c r="H33" s="7">
        <v>34.22</v>
      </c>
      <c r="I33" s="31">
        <f>ROUNDUP(H33/3,0)</f>
        <v>12</v>
      </c>
      <c r="J33" s="10">
        <f>I33*G33</f>
        <v>5070.24</v>
      </c>
      <c r="K33" s="33">
        <f>J33*0.8</f>
        <v>4056.192</v>
      </c>
      <c r="L33" s="38">
        <f>K33*1.69</f>
        <v>6854.9644799999996</v>
      </c>
      <c r="M33" s="38">
        <f>K33*2.25</f>
        <v>9126.4320000000007</v>
      </c>
      <c r="N33" s="36">
        <f>J33*1.6</f>
        <v>8112.384</v>
      </c>
    </row>
    <row r="34" spans="1:14" ht="15.75">
      <c r="A34" s="46" t="s">
        <v>86</v>
      </c>
      <c r="B34" s="46" t="s">
        <v>87</v>
      </c>
      <c r="C34" s="46" t="s">
        <v>88</v>
      </c>
      <c r="D34" s="46" t="s">
        <v>37</v>
      </c>
      <c r="E34" s="7" t="s">
        <v>89</v>
      </c>
      <c r="F34" s="8">
        <v>1999</v>
      </c>
      <c r="G34" s="7">
        <v>431.08</v>
      </c>
      <c r="H34" s="7">
        <v>32.619999999999997</v>
      </c>
      <c r="I34" s="31">
        <f>ROUNDUP(H34/3,0)</f>
        <v>11</v>
      </c>
      <c r="J34" s="10">
        <f>I34*G34</f>
        <v>4741.88</v>
      </c>
      <c r="K34" s="33">
        <f>J34*0.8</f>
        <v>3793.5040000000004</v>
      </c>
      <c r="L34" s="38">
        <f>K34*1.69</f>
        <v>6411.0217600000005</v>
      </c>
      <c r="M34" s="38">
        <f>K34*2.25</f>
        <v>8535.384</v>
      </c>
      <c r="N34" s="36">
        <f>J34*1.6</f>
        <v>7587.0080000000007</v>
      </c>
    </row>
    <row r="35" spans="1:14" ht="15.75">
      <c r="A35" s="46"/>
      <c r="B35" s="46"/>
      <c r="C35" s="46"/>
      <c r="D35" s="46"/>
      <c r="E35" s="15" t="s">
        <v>90</v>
      </c>
      <c r="F35" s="16" t="s">
        <v>20</v>
      </c>
      <c r="G35" s="7">
        <v>824.88</v>
      </c>
      <c r="H35" s="7">
        <v>21.79</v>
      </c>
      <c r="I35" s="31">
        <f>ROUNDUP(H35/3,0)</f>
        <v>8</v>
      </c>
      <c r="J35" s="10">
        <f>I35*G35</f>
        <v>6599.04</v>
      </c>
      <c r="K35" s="33">
        <f>J35*0.8</f>
        <v>5279.232</v>
      </c>
      <c r="L35" s="38">
        <f>K35*1.69</f>
        <v>8921.9020799999998</v>
      </c>
      <c r="M35" s="38">
        <f>K35*2.25</f>
        <v>11878.272000000001</v>
      </c>
      <c r="N35" s="36">
        <f>J35*1.6</f>
        <v>10558.464</v>
      </c>
    </row>
    <row r="36" spans="1:14" ht="46.5">
      <c r="A36" s="6" t="s">
        <v>86</v>
      </c>
      <c r="B36" s="6" t="s">
        <v>87</v>
      </c>
      <c r="C36" s="6" t="s">
        <v>91</v>
      </c>
      <c r="D36" s="6" t="s">
        <v>26</v>
      </c>
      <c r="E36" s="7" t="s">
        <v>92</v>
      </c>
      <c r="F36" s="8" t="s">
        <v>20</v>
      </c>
      <c r="G36" s="7">
        <v>317.14999999999998</v>
      </c>
      <c r="H36" s="7" t="s">
        <v>93</v>
      </c>
      <c r="I36" s="31"/>
      <c r="J36" s="10"/>
    </row>
    <row r="37" spans="1:14" ht="15.75">
      <c r="A37" s="6" t="s">
        <v>77</v>
      </c>
      <c r="B37" s="6" t="s">
        <v>94</v>
      </c>
      <c r="C37" s="6" t="s">
        <v>95</v>
      </c>
      <c r="D37" s="6" t="s">
        <v>26</v>
      </c>
      <c r="E37" s="7" t="s">
        <v>96</v>
      </c>
      <c r="F37" s="8" t="s">
        <v>20</v>
      </c>
      <c r="G37" s="7">
        <v>374.84</v>
      </c>
      <c r="H37" s="7">
        <v>33.799999999999997</v>
      </c>
      <c r="I37" s="31">
        <f>ROUNDUP(H37/3,0)</f>
        <v>12</v>
      </c>
      <c r="J37" s="10">
        <f>I37*G37</f>
        <v>4498.08</v>
      </c>
      <c r="K37" s="33">
        <f>J37*0.8</f>
        <v>3598.4639999999999</v>
      </c>
      <c r="L37" s="38">
        <f>K37*1.69</f>
        <v>6081.40416</v>
      </c>
      <c r="M37" s="38">
        <f>K37*2.25</f>
        <v>8096.5439999999999</v>
      </c>
      <c r="N37" s="36">
        <f>J37*1.6</f>
        <v>7196.9279999999999</v>
      </c>
    </row>
    <row r="38" spans="1:14" ht="15.75">
      <c r="A38" s="6" t="s">
        <v>77</v>
      </c>
      <c r="B38" s="6" t="s">
        <v>94</v>
      </c>
      <c r="C38" s="6" t="s">
        <v>97</v>
      </c>
      <c r="D38" s="6" t="s">
        <v>26</v>
      </c>
      <c r="E38" s="7" t="s">
        <v>98</v>
      </c>
      <c r="F38" s="8">
        <v>1995</v>
      </c>
      <c r="G38" s="7">
        <v>185.25</v>
      </c>
      <c r="H38" s="7">
        <v>2.94</v>
      </c>
      <c r="I38" s="31">
        <f>ROUNDUP(H38/3,0)</f>
        <v>1</v>
      </c>
      <c r="J38" s="10">
        <f>185.25</f>
        <v>185.25</v>
      </c>
      <c r="K38" s="33">
        <f>J38*1.1</f>
        <v>203.77500000000001</v>
      </c>
      <c r="L38" s="38">
        <f>K38*1.69</f>
        <v>344.37975</v>
      </c>
      <c r="M38" s="38">
        <f>K38*2.25</f>
        <v>458.49375000000003</v>
      </c>
      <c r="N38" s="36">
        <f>J38*1.6</f>
        <v>296.40000000000003</v>
      </c>
    </row>
    <row r="39" spans="1:14" ht="15.75">
      <c r="A39" s="17" t="s">
        <v>77</v>
      </c>
      <c r="B39" s="6" t="s">
        <v>99</v>
      </c>
      <c r="C39" s="6" t="s">
        <v>100</v>
      </c>
      <c r="D39" s="6" t="s">
        <v>37</v>
      </c>
      <c r="E39" s="7" t="s">
        <v>101</v>
      </c>
      <c r="F39" s="8">
        <v>1992</v>
      </c>
      <c r="G39" s="7">
        <v>385.49</v>
      </c>
      <c r="H39" s="7">
        <v>29.96</v>
      </c>
      <c r="I39" s="31">
        <f>ROUNDUP(H39/3,0)</f>
        <v>10</v>
      </c>
      <c r="J39" s="10">
        <f>I39*G39</f>
        <v>3854.9</v>
      </c>
      <c r="K39" s="33">
        <f>J39*0.8</f>
        <v>3083.92</v>
      </c>
      <c r="L39" s="38">
        <f>K39*1.69</f>
        <v>5211.8248000000003</v>
      </c>
      <c r="M39" s="38">
        <f>K39*2.25</f>
        <v>6938.82</v>
      </c>
      <c r="N39" s="36">
        <f>J39*1.6</f>
        <v>6167.84</v>
      </c>
    </row>
    <row r="40" spans="1:14" ht="61.5">
      <c r="A40" s="9" t="s">
        <v>102</v>
      </c>
      <c r="B40" s="9" t="s">
        <v>103</v>
      </c>
      <c r="C40" s="9" t="s">
        <v>104</v>
      </c>
      <c r="D40" s="9" t="s">
        <v>105</v>
      </c>
      <c r="E40" s="7" t="s">
        <v>106</v>
      </c>
      <c r="F40" s="8">
        <v>1997</v>
      </c>
      <c r="G40" s="7">
        <v>210.01</v>
      </c>
      <c r="H40" s="7" t="s">
        <v>107</v>
      </c>
      <c r="I40" s="31">
        <f>ROUNDUP(12.67/3,0)</f>
        <v>5</v>
      </c>
      <c r="J40" s="10">
        <f>I40*G40</f>
        <v>1050.05</v>
      </c>
      <c r="K40" s="33">
        <f>J40*0.8</f>
        <v>840.04</v>
      </c>
      <c r="L40" s="38">
        <f>K40*1.69</f>
        <v>1419.6676</v>
      </c>
      <c r="M40" s="38">
        <f>K40*2.25</f>
        <v>1890.09</v>
      </c>
      <c r="N40" s="36">
        <f>J40*1.6</f>
        <v>1680.08</v>
      </c>
    </row>
    <row r="41" spans="1:14" ht="30.75" customHeight="1">
      <c r="A41" s="46" t="s">
        <v>102</v>
      </c>
      <c r="B41" s="46" t="s">
        <v>108</v>
      </c>
      <c r="C41" s="46"/>
      <c r="D41" s="46" t="s">
        <v>109</v>
      </c>
      <c r="E41" s="7" t="s">
        <v>110</v>
      </c>
      <c r="F41" s="8" t="s">
        <v>20</v>
      </c>
      <c r="G41" s="7">
        <v>107.16</v>
      </c>
      <c r="H41" s="7">
        <v>3.26</v>
      </c>
      <c r="I41" s="31">
        <f>ROUNDUP(H41/3,0)</f>
        <v>2</v>
      </c>
      <c r="J41" s="10">
        <f>I41*G41</f>
        <v>214.32</v>
      </c>
      <c r="K41" s="33">
        <f>J41*1.1</f>
        <v>235.75200000000001</v>
      </c>
      <c r="L41" s="38">
        <f>K41*1.69</f>
        <v>398.42088000000001</v>
      </c>
      <c r="M41" s="38">
        <f>K41*2.25</f>
        <v>530.44200000000001</v>
      </c>
      <c r="N41" s="36">
        <f>J41*1.6</f>
        <v>342.91200000000003</v>
      </c>
    </row>
    <row r="42" spans="1:14" ht="29.25" customHeight="1">
      <c r="A42" s="46"/>
      <c r="B42" s="46"/>
      <c r="C42" s="46"/>
      <c r="D42" s="46"/>
      <c r="E42" s="15" t="s">
        <v>111</v>
      </c>
      <c r="F42" s="16" t="s">
        <v>20</v>
      </c>
      <c r="G42" s="7">
        <v>66.87</v>
      </c>
      <c r="H42" s="7">
        <v>3.14</v>
      </c>
      <c r="I42" s="31">
        <f>ROUNDUP(H42/3,0)</f>
        <v>2</v>
      </c>
      <c r="J42" s="10">
        <f>I42*G42</f>
        <v>133.74</v>
      </c>
      <c r="K42" s="33">
        <f>J42*1.1</f>
        <v>147.11400000000003</v>
      </c>
      <c r="L42" s="38">
        <f>K42*1.69</f>
        <v>248.62266000000005</v>
      </c>
      <c r="M42" s="38">
        <f>K42*2.25</f>
        <v>331.00650000000007</v>
      </c>
      <c r="N42" s="36">
        <f>J42*1.6</f>
        <v>213.98400000000004</v>
      </c>
    </row>
    <row r="43" spans="1:14" ht="15.75">
      <c r="A43" s="46"/>
      <c r="B43" s="46"/>
      <c r="C43" s="46"/>
      <c r="D43" s="46"/>
      <c r="E43" s="15" t="s">
        <v>112</v>
      </c>
      <c r="F43" s="16" t="s">
        <v>20</v>
      </c>
      <c r="G43" s="7">
        <v>56.01</v>
      </c>
      <c r="H43" s="7">
        <v>3</v>
      </c>
      <c r="I43" s="31">
        <f>ROUNDUP(H43/3,0)</f>
        <v>1</v>
      </c>
      <c r="J43" s="10">
        <f>I43*G43</f>
        <v>56.01</v>
      </c>
      <c r="K43" s="33">
        <f>J43*1.1</f>
        <v>61.611000000000004</v>
      </c>
      <c r="L43" s="38">
        <f>K43*1.69</f>
        <v>104.12259</v>
      </c>
      <c r="M43" s="38">
        <f>K43*2.25</f>
        <v>138.62475000000001</v>
      </c>
      <c r="N43" s="36">
        <f>J43*1.6</f>
        <v>89.616</v>
      </c>
    </row>
    <row r="44" spans="1:14" ht="15" customHeight="1">
      <c r="A44" s="51" t="s">
        <v>113</v>
      </c>
      <c r="B44" s="52"/>
      <c r="C44" s="52"/>
      <c r="D44" s="52"/>
      <c r="E44" s="52"/>
      <c r="F44" s="52"/>
      <c r="G44" s="52"/>
      <c r="H44" s="52"/>
      <c r="I44" s="53"/>
      <c r="J44" s="28"/>
    </row>
    <row r="45" spans="1:14" ht="15" customHeight="1">
      <c r="A45" s="10" t="s">
        <v>114</v>
      </c>
      <c r="B45" s="10" t="s">
        <v>115</v>
      </c>
      <c r="C45" s="10" t="s">
        <v>116</v>
      </c>
      <c r="D45" s="10"/>
      <c r="E45" s="10"/>
      <c r="F45" s="18"/>
      <c r="G45" s="19"/>
      <c r="H45" s="10"/>
      <c r="I45" s="22"/>
      <c r="J45" s="10"/>
    </row>
    <row r="46" spans="1:14" ht="15" customHeight="1">
      <c r="A46" s="10" t="s">
        <v>117</v>
      </c>
      <c r="B46" s="5" t="s">
        <v>118</v>
      </c>
      <c r="C46" s="10" t="s">
        <v>119</v>
      </c>
      <c r="D46" s="10"/>
      <c r="E46" s="10"/>
      <c r="F46" s="18"/>
      <c r="G46" s="19">
        <v>304.2</v>
      </c>
      <c r="H46" s="10">
        <v>2.82</v>
      </c>
      <c r="I46" s="22">
        <v>1</v>
      </c>
      <c r="J46" s="10">
        <v>304.2</v>
      </c>
      <c r="K46" s="33">
        <f>J46*1.1</f>
        <v>334.62</v>
      </c>
      <c r="L46" s="38">
        <f>K46*1.69</f>
        <v>565.50779999999997</v>
      </c>
      <c r="M46" s="38">
        <f>K46*2.25</f>
        <v>752.89499999999998</v>
      </c>
      <c r="N46" s="36">
        <f>J46*1.6</f>
        <v>486.72</v>
      </c>
    </row>
    <row r="47" spans="1:14" ht="15" customHeight="1">
      <c r="A47" s="5" t="s">
        <v>120</v>
      </c>
      <c r="B47" s="5" t="s">
        <v>121</v>
      </c>
      <c r="C47" s="5" t="s">
        <v>122</v>
      </c>
      <c r="D47" s="5"/>
      <c r="E47" s="5"/>
      <c r="F47" s="20"/>
      <c r="G47" s="21">
        <v>1725.02</v>
      </c>
      <c r="H47" s="5">
        <v>3.95</v>
      </c>
      <c r="I47" s="23">
        <f>ROUNDUP(H47/3,0)</f>
        <v>2</v>
      </c>
      <c r="J47" s="5">
        <f>I47*G47</f>
        <v>3450.04</v>
      </c>
      <c r="K47" s="33">
        <f>J47*1.1</f>
        <v>3795.0440000000003</v>
      </c>
      <c r="L47" s="38">
        <f>K47*1.69</f>
        <v>6413.6243600000007</v>
      </c>
      <c r="M47" s="38">
        <f>K47*2.25</f>
        <v>8538.8490000000002</v>
      </c>
      <c r="N47" s="36">
        <f>J47*1.6</f>
        <v>5520.0640000000003</v>
      </c>
    </row>
    <row r="48" spans="1:14" ht="35.25" customHeight="1">
      <c r="A48" s="5" t="s">
        <v>120</v>
      </c>
      <c r="B48" s="5" t="s">
        <v>123</v>
      </c>
      <c r="C48" s="5" t="s">
        <v>124</v>
      </c>
      <c r="D48" s="5"/>
      <c r="E48" s="5"/>
      <c r="F48" s="20"/>
      <c r="G48" s="19" t="s">
        <v>125</v>
      </c>
      <c r="H48" s="5">
        <v>8.69</v>
      </c>
      <c r="I48" s="23">
        <v>3</v>
      </c>
      <c r="J48" s="5">
        <v>1087.76</v>
      </c>
      <c r="K48" s="33">
        <f>J48*1.1</f>
        <v>1196.5360000000001</v>
      </c>
      <c r="L48" s="38">
        <f>K48*1.69</f>
        <v>2022.1458400000001</v>
      </c>
      <c r="M48" s="38">
        <f>K48*2.25</f>
        <v>2692.2060000000001</v>
      </c>
      <c r="N48" s="36">
        <f>J48*1.6</f>
        <v>1740.4160000000002</v>
      </c>
    </row>
    <row r="49" spans="1:14" ht="60" customHeight="1">
      <c r="A49" s="5" t="s">
        <v>120</v>
      </c>
      <c r="B49" s="5" t="s">
        <v>126</v>
      </c>
      <c r="C49" s="5" t="s">
        <v>124</v>
      </c>
      <c r="D49" s="5"/>
      <c r="E49" s="5"/>
      <c r="F49" s="20"/>
      <c r="G49" s="19" t="s">
        <v>127</v>
      </c>
      <c r="H49" s="5">
        <v>9.7100000000000009</v>
      </c>
      <c r="I49" s="23">
        <f>ROUNDUP(H49/3,0)</f>
        <v>4</v>
      </c>
      <c r="J49" s="29">
        <v>1721.54</v>
      </c>
      <c r="K49" s="33">
        <f>J49*0.8</f>
        <v>1377.232</v>
      </c>
      <c r="L49" s="38">
        <f>K49*1.69</f>
        <v>2327.5220799999997</v>
      </c>
      <c r="M49" s="38">
        <f>K49*2.25</f>
        <v>3098.7719999999999</v>
      </c>
      <c r="N49" s="36">
        <f>J49*1.6</f>
        <v>2754.4639999999999</v>
      </c>
    </row>
    <row r="50" spans="1:14" ht="37.5" customHeight="1">
      <c r="A50" s="5" t="s">
        <v>120</v>
      </c>
      <c r="B50" s="5" t="s">
        <v>128</v>
      </c>
      <c r="C50" s="5"/>
      <c r="D50" s="5"/>
      <c r="E50" s="5"/>
      <c r="F50" s="20"/>
      <c r="G50" s="19" t="s">
        <v>129</v>
      </c>
      <c r="H50" s="5">
        <v>7.29</v>
      </c>
      <c r="I50" s="23">
        <f>ROUNDUP(H50/3,0)</f>
        <v>3</v>
      </c>
      <c r="J50" s="29">
        <v>1253.03</v>
      </c>
      <c r="K50" s="33">
        <f>J50*1.1</f>
        <v>1378.3330000000001</v>
      </c>
      <c r="L50" s="38">
        <f>K50*1.69</f>
        <v>2329.3827700000002</v>
      </c>
      <c r="M50" s="38">
        <f>K50*2.25</f>
        <v>3101.2492500000003</v>
      </c>
      <c r="N50" s="36">
        <f>J50*1.6</f>
        <v>2004.848</v>
      </c>
    </row>
    <row r="51" spans="1:14" ht="31.5" customHeight="1">
      <c r="A51" s="5" t="s">
        <v>130</v>
      </c>
      <c r="B51" s="5" t="s">
        <v>131</v>
      </c>
      <c r="C51" s="5" t="s">
        <v>132</v>
      </c>
      <c r="D51" s="5"/>
      <c r="E51" s="5"/>
      <c r="F51" s="20"/>
      <c r="G51" s="19" t="s">
        <v>133</v>
      </c>
      <c r="H51" s="5">
        <v>6.39</v>
      </c>
      <c r="I51" s="23">
        <f>ROUNDUP(H51/3,0)</f>
        <v>3</v>
      </c>
      <c r="J51" s="5">
        <v>641.32000000000005</v>
      </c>
      <c r="K51" s="33">
        <f>J51*1.1</f>
        <v>705.45200000000011</v>
      </c>
      <c r="L51" s="38">
        <f>K51*1.69</f>
        <v>1192.2138800000002</v>
      </c>
      <c r="M51" s="38">
        <f>K51*2.25</f>
        <v>1587.2670000000003</v>
      </c>
      <c r="N51" s="36">
        <f>J51*1.6</f>
        <v>1026.1120000000001</v>
      </c>
    </row>
    <row r="52" spans="1:14" ht="15" customHeight="1">
      <c r="A52" s="5" t="s">
        <v>134</v>
      </c>
      <c r="B52" s="5" t="s">
        <v>135</v>
      </c>
      <c r="C52" s="5" t="s">
        <v>136</v>
      </c>
      <c r="D52" s="5"/>
      <c r="E52" s="5"/>
      <c r="F52" s="20"/>
      <c r="G52" s="21">
        <v>321.86</v>
      </c>
      <c r="H52" s="5">
        <v>3.4</v>
      </c>
      <c r="I52" s="23">
        <v>2</v>
      </c>
      <c r="J52" s="5">
        <f>I52*G52</f>
        <v>643.72</v>
      </c>
      <c r="K52" s="33">
        <f>J52*1.1</f>
        <v>708.0920000000001</v>
      </c>
      <c r="L52" s="38">
        <f>K52*1.69</f>
        <v>1196.6754800000001</v>
      </c>
      <c r="M52" s="38">
        <f>K52*2.25</f>
        <v>1593.2070000000003</v>
      </c>
      <c r="N52" s="36">
        <f>J52*1.6</f>
        <v>1029.952</v>
      </c>
    </row>
    <row r="53" spans="1:14" ht="15" customHeight="1">
      <c r="A53" s="5" t="s">
        <v>134</v>
      </c>
      <c r="B53" s="5" t="s">
        <v>137</v>
      </c>
      <c r="C53" s="5" t="s">
        <v>136</v>
      </c>
      <c r="D53" s="5"/>
      <c r="E53" s="5"/>
      <c r="F53" s="20"/>
      <c r="G53" s="21">
        <v>221.88</v>
      </c>
      <c r="H53" s="5">
        <v>9.85</v>
      </c>
      <c r="I53" s="23">
        <f>ROUNDUP(H53/3,0)</f>
        <v>4</v>
      </c>
      <c r="J53" s="5">
        <f>I53*G53</f>
        <v>887.52</v>
      </c>
      <c r="K53" s="33">
        <f>J53*0.8</f>
        <v>710.01600000000008</v>
      </c>
      <c r="L53" s="38">
        <f>K53*1.69</f>
        <v>1199.92704</v>
      </c>
      <c r="M53" s="38">
        <f>K53*2.25</f>
        <v>1597.5360000000001</v>
      </c>
      <c r="N53" s="36">
        <f>J53*1.6</f>
        <v>1420.0320000000002</v>
      </c>
    </row>
    <row r="54" spans="1:14" ht="30" customHeight="1">
      <c r="A54" s="5" t="s">
        <v>134</v>
      </c>
      <c r="B54" s="5" t="s">
        <v>138</v>
      </c>
      <c r="C54" s="5" t="s">
        <v>139</v>
      </c>
      <c r="D54" s="10" t="s">
        <v>140</v>
      </c>
      <c r="E54" s="5"/>
      <c r="F54" s="20"/>
      <c r="G54" s="21">
        <v>1076.28</v>
      </c>
      <c r="H54" s="5">
        <v>11.85</v>
      </c>
      <c r="I54" s="23">
        <f>ROUNDUP(H54/3,0)</f>
        <v>4</v>
      </c>
      <c r="J54" s="5">
        <f>I54*G54</f>
        <v>4305.12</v>
      </c>
      <c r="K54" s="33">
        <f>J54*0.8</f>
        <v>3444.096</v>
      </c>
      <c r="L54" s="38">
        <f>K54*1.69</f>
        <v>5820.5222400000002</v>
      </c>
      <c r="M54" s="38">
        <f>K54*2.25</f>
        <v>7749.2160000000003</v>
      </c>
      <c r="N54" s="36">
        <f>J54*1.6</f>
        <v>6888.192</v>
      </c>
    </row>
    <row r="55" spans="1:14" ht="15" customHeight="1">
      <c r="A55" s="5" t="s">
        <v>141</v>
      </c>
      <c r="B55" s="5" t="s">
        <v>142</v>
      </c>
      <c r="C55" s="5"/>
      <c r="D55" s="5"/>
      <c r="E55" s="5"/>
      <c r="F55" s="20"/>
      <c r="G55" s="21">
        <v>234.73</v>
      </c>
      <c r="H55" s="5">
        <v>2.88</v>
      </c>
      <c r="I55" s="23">
        <v>1</v>
      </c>
      <c r="J55" s="5">
        <v>234.73</v>
      </c>
      <c r="K55" s="33">
        <f>J55*1.1</f>
        <v>258.20300000000003</v>
      </c>
      <c r="L55" s="38">
        <f>K55*1.69</f>
        <v>436.36307000000005</v>
      </c>
      <c r="M55" s="38">
        <f>K55*2.25</f>
        <v>580.95675000000006</v>
      </c>
      <c r="N55" s="36">
        <f>J55*1.6</f>
        <v>375.56799999999998</v>
      </c>
    </row>
    <row r="56" spans="1:14" ht="15" customHeight="1">
      <c r="A56" s="5" t="s">
        <v>141</v>
      </c>
      <c r="B56" s="5" t="s">
        <v>143</v>
      </c>
      <c r="C56" s="5"/>
      <c r="D56" s="5"/>
      <c r="E56" s="5"/>
      <c r="F56" s="20"/>
      <c r="G56" s="21">
        <v>218.51</v>
      </c>
      <c r="H56" s="5">
        <v>4.34</v>
      </c>
      <c r="I56" s="23">
        <f>ROUNDUP(H56/3,0)</f>
        <v>2</v>
      </c>
      <c r="J56" s="5">
        <f>I56*G56</f>
        <v>437.02</v>
      </c>
      <c r="K56" s="33">
        <f>J56*1.1</f>
        <v>480.72200000000004</v>
      </c>
      <c r="L56" s="38">
        <f>K56*1.69</f>
        <v>812.42018000000007</v>
      </c>
      <c r="M56" s="38">
        <f>K56*2.25</f>
        <v>1081.6245000000001</v>
      </c>
      <c r="N56" s="36">
        <f>J56*1.6</f>
        <v>699.23199999999997</v>
      </c>
    </row>
    <row r="57" spans="1:14" ht="15" customHeight="1">
      <c r="A57" s="5" t="s">
        <v>144</v>
      </c>
      <c r="B57" s="5" t="s">
        <v>145</v>
      </c>
      <c r="C57" s="5"/>
      <c r="D57" s="5"/>
      <c r="E57" s="5"/>
      <c r="F57" s="20"/>
      <c r="G57" s="21">
        <v>380.98</v>
      </c>
      <c r="H57" s="5">
        <v>3.87</v>
      </c>
      <c r="I57" s="23">
        <v>2</v>
      </c>
      <c r="J57" s="5">
        <f>I57*G57</f>
        <v>761.96</v>
      </c>
      <c r="K57" s="33">
        <f>J57*1.1</f>
        <v>838.15600000000006</v>
      </c>
      <c r="L57" s="38">
        <f>K57*1.69</f>
        <v>1416.4836400000002</v>
      </c>
      <c r="M57" s="38">
        <f>K57*2.25</f>
        <v>1885.8510000000001</v>
      </c>
      <c r="N57" s="36">
        <f>J57*1.6</f>
        <v>1219.1360000000002</v>
      </c>
    </row>
    <row r="58" spans="1:14" ht="15" customHeight="1">
      <c r="A58" s="5" t="s">
        <v>144</v>
      </c>
      <c r="B58" s="5" t="s">
        <v>146</v>
      </c>
      <c r="C58" s="5"/>
      <c r="D58" s="5"/>
      <c r="E58" s="5"/>
      <c r="F58" s="20"/>
      <c r="G58" s="21">
        <v>198.28</v>
      </c>
      <c r="H58" s="5">
        <v>6.32</v>
      </c>
      <c r="I58" s="23">
        <v>3</v>
      </c>
      <c r="J58" s="5">
        <f>I58*G58</f>
        <v>594.84</v>
      </c>
      <c r="K58" s="33">
        <f>J58*1.1</f>
        <v>654.32400000000007</v>
      </c>
      <c r="L58" s="38">
        <f>K58*1.69</f>
        <v>1105.8075600000002</v>
      </c>
      <c r="M58" s="38">
        <f>K58*2.25</f>
        <v>1472.2290000000003</v>
      </c>
      <c r="N58" s="36">
        <f>J58*1.6</f>
        <v>951.74400000000014</v>
      </c>
    </row>
    <row r="59" spans="1:14" ht="15" customHeight="1">
      <c r="A59" s="5" t="s">
        <v>147</v>
      </c>
      <c r="B59" s="5" t="s">
        <v>148</v>
      </c>
      <c r="C59" s="5"/>
      <c r="D59" s="5"/>
      <c r="E59" s="5"/>
      <c r="F59" s="20"/>
      <c r="G59" s="21">
        <v>204.02</v>
      </c>
      <c r="H59" s="5">
        <v>7.7</v>
      </c>
      <c r="I59" s="23">
        <f>ROUNDUP(H59/3,0)</f>
        <v>3</v>
      </c>
      <c r="J59" s="5">
        <f>I59*G59</f>
        <v>612.06000000000006</v>
      </c>
      <c r="K59" s="33">
        <f>J59*1.1</f>
        <v>673.26600000000008</v>
      </c>
      <c r="L59" s="38">
        <f>K59*1.69</f>
        <v>1137.8195400000002</v>
      </c>
      <c r="M59" s="38">
        <f>K59*2.25</f>
        <v>1514.8485000000001</v>
      </c>
      <c r="N59" s="36">
        <f>J59*1.6</f>
        <v>979.29600000000016</v>
      </c>
    </row>
    <row r="60" spans="1:14" ht="33.75" customHeight="1">
      <c r="A60" s="5" t="s">
        <v>147</v>
      </c>
      <c r="B60" s="5" t="s">
        <v>149</v>
      </c>
      <c r="C60" s="5"/>
      <c r="D60" s="5"/>
      <c r="E60" s="5"/>
      <c r="F60" s="20"/>
      <c r="G60" s="19" t="s">
        <v>150</v>
      </c>
      <c r="H60" s="5">
        <v>5.75</v>
      </c>
      <c r="I60" s="23">
        <v>2</v>
      </c>
      <c r="J60" s="5">
        <v>420</v>
      </c>
      <c r="K60" s="33">
        <f>J60*1.1</f>
        <v>462.00000000000006</v>
      </c>
      <c r="L60" s="38">
        <f>K60*1.69</f>
        <v>780.78000000000009</v>
      </c>
      <c r="M60" s="38">
        <f>K60*2.25</f>
        <v>1039.5000000000002</v>
      </c>
      <c r="N60" s="36">
        <f>J60*1.6</f>
        <v>672</v>
      </c>
    </row>
    <row r="61" spans="1:14" ht="15" customHeight="1">
      <c r="A61" s="49" t="s">
        <v>151</v>
      </c>
      <c r="B61" s="49"/>
      <c r="C61" s="49"/>
      <c r="D61" s="49"/>
      <c r="E61" s="49"/>
      <c r="F61" s="49"/>
      <c r="G61" s="49"/>
      <c r="H61" s="49"/>
      <c r="I61" s="49"/>
      <c r="J61" s="50"/>
      <c r="K61" s="49"/>
      <c r="L61" s="1"/>
      <c r="M61" s="1"/>
    </row>
    <row r="62" spans="1:14" ht="45.75" customHeight="1">
      <c r="A62" s="5" t="s">
        <v>152</v>
      </c>
      <c r="B62" s="5" t="s">
        <v>153</v>
      </c>
      <c r="C62" s="5"/>
      <c r="D62" s="5"/>
      <c r="E62" s="5"/>
      <c r="F62" s="20"/>
      <c r="G62" s="5">
        <v>227.12</v>
      </c>
      <c r="H62" s="10" t="s">
        <v>154</v>
      </c>
      <c r="I62" s="23">
        <v>2</v>
      </c>
      <c r="J62" s="5">
        <f>I62*G62</f>
        <v>454.24</v>
      </c>
      <c r="K62" s="33">
        <f>J62*1.1</f>
        <v>499.66400000000004</v>
      </c>
      <c r="L62" s="38">
        <f>K62*1.69</f>
        <v>844.43216000000007</v>
      </c>
      <c r="M62" s="38">
        <f>K62*2.25</f>
        <v>1124.2440000000001</v>
      </c>
      <c r="N62" s="36">
        <f>J62*1.6</f>
        <v>726.78400000000011</v>
      </c>
    </row>
    <row r="63" spans="1:14" ht="30" customHeight="1">
      <c r="A63" s="5" t="s">
        <v>155</v>
      </c>
      <c r="B63" s="5" t="s">
        <v>156</v>
      </c>
      <c r="C63" s="5"/>
      <c r="D63" s="5"/>
      <c r="E63" s="5"/>
      <c r="F63" s="20"/>
      <c r="G63" s="10" t="s">
        <v>157</v>
      </c>
      <c r="H63" s="5">
        <v>7.29</v>
      </c>
      <c r="I63" s="23">
        <f>ROUNDUP(H63/3,0)</f>
        <v>3</v>
      </c>
      <c r="J63" s="5">
        <v>567.84</v>
      </c>
      <c r="K63" s="33">
        <f>J63*1.1</f>
        <v>624.62400000000014</v>
      </c>
      <c r="L63" s="38">
        <f>K63*1.69</f>
        <v>1055.6145600000002</v>
      </c>
      <c r="M63" s="38">
        <f>K63*2.25</f>
        <v>1405.4040000000002</v>
      </c>
      <c r="N63" s="36">
        <f>J63*1.6</f>
        <v>908.5440000000001</v>
      </c>
    </row>
    <row r="64" spans="1:14" ht="30" customHeight="1">
      <c r="A64" s="5" t="s">
        <v>158</v>
      </c>
      <c r="B64" s="5" t="s">
        <v>159</v>
      </c>
      <c r="C64" s="5"/>
      <c r="D64" s="5"/>
      <c r="E64" s="5"/>
      <c r="F64" s="20"/>
      <c r="G64" s="10" t="s">
        <v>160</v>
      </c>
      <c r="H64" s="5">
        <v>5.42</v>
      </c>
      <c r="I64" s="23">
        <v>2</v>
      </c>
      <c r="J64" s="5">
        <v>561.47</v>
      </c>
      <c r="K64" s="33">
        <f>J64*1.1</f>
        <v>617.61700000000008</v>
      </c>
      <c r="L64" s="38">
        <f>K64*1.69</f>
        <v>1043.7727300000001</v>
      </c>
      <c r="M64" s="38">
        <f>K64*2.25</f>
        <v>1389.6382500000002</v>
      </c>
      <c r="N64" s="36">
        <f>J64*1.6</f>
        <v>898.35200000000009</v>
      </c>
    </row>
    <row r="65" spans="1:14" ht="15" customHeight="1">
      <c r="A65" s="5" t="s">
        <v>158</v>
      </c>
      <c r="B65" s="5" t="s">
        <v>161</v>
      </c>
      <c r="C65" s="5"/>
      <c r="D65" s="5"/>
      <c r="E65" s="5"/>
      <c r="F65" s="20"/>
      <c r="G65" s="5">
        <v>211.62</v>
      </c>
      <c r="H65" s="5">
        <v>9.16</v>
      </c>
      <c r="I65" s="23">
        <f>ROUNDUP(H65/3,0)</f>
        <v>4</v>
      </c>
      <c r="J65" s="5">
        <f>I65*G65</f>
        <v>846.48</v>
      </c>
      <c r="K65" s="33">
        <f>J65*0.8</f>
        <v>677.18400000000008</v>
      </c>
      <c r="L65" s="38">
        <f>K65*1.69</f>
        <v>1144.4409600000001</v>
      </c>
      <c r="M65" s="38">
        <f>K65*2.25</f>
        <v>1523.6640000000002</v>
      </c>
      <c r="N65" s="36">
        <f>J65*1.6</f>
        <v>1354.3680000000002</v>
      </c>
    </row>
    <row r="66" spans="1:14" ht="15" customHeight="1">
      <c r="A66" s="5" t="s">
        <v>162</v>
      </c>
      <c r="B66" s="5" t="s">
        <v>163</v>
      </c>
      <c r="C66" s="5"/>
      <c r="D66" s="5"/>
      <c r="E66" s="5"/>
      <c r="F66" s="20"/>
      <c r="G66" s="5"/>
      <c r="H66" s="5"/>
      <c r="I66" s="23"/>
      <c r="J66" s="5"/>
    </row>
  </sheetData>
  <mergeCells count="47">
    <mergeCell ref="A61:K61"/>
    <mergeCell ref="A41:A43"/>
    <mergeCell ref="B41:B43"/>
    <mergeCell ref="D41:D43"/>
    <mergeCell ref="C41:C43"/>
    <mergeCell ref="A44:I44"/>
    <mergeCell ref="A34:A35"/>
    <mergeCell ref="B34:B35"/>
    <mergeCell ref="C34:C35"/>
    <mergeCell ref="D34:D35"/>
    <mergeCell ref="A28:A29"/>
    <mergeCell ref="B28:B29"/>
    <mergeCell ref="C28:C29"/>
    <mergeCell ref="D28:D29"/>
    <mergeCell ref="A30:A32"/>
    <mergeCell ref="B30:B32"/>
    <mergeCell ref="C30:C32"/>
    <mergeCell ref="D30:D32"/>
    <mergeCell ref="D3:D5"/>
    <mergeCell ref="A7:A9"/>
    <mergeCell ref="B7:B9"/>
    <mergeCell ref="C7:C9"/>
    <mergeCell ref="D7:D9"/>
    <mergeCell ref="A2:I2"/>
    <mergeCell ref="D12:D14"/>
    <mergeCell ref="A15:A17"/>
    <mergeCell ref="B15:B17"/>
    <mergeCell ref="C15:C17"/>
    <mergeCell ref="D15:D17"/>
    <mergeCell ref="A10:A11"/>
    <mergeCell ref="B10:B11"/>
    <mergeCell ref="C10:C11"/>
    <mergeCell ref="D10:D11"/>
    <mergeCell ref="A12:A14"/>
    <mergeCell ref="B12:B14"/>
    <mergeCell ref="C12:C14"/>
    <mergeCell ref="A3:A5"/>
    <mergeCell ref="B3:B5"/>
    <mergeCell ref="C3:C5"/>
    <mergeCell ref="A21:A22"/>
    <mergeCell ref="B21:B22"/>
    <mergeCell ref="C21:C22"/>
    <mergeCell ref="D21:D22"/>
    <mergeCell ref="A23:A27"/>
    <mergeCell ref="B23:B27"/>
    <mergeCell ref="C23:C27"/>
    <mergeCell ref="D23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Nassar (Student)</dc:creator>
  <cp:keywords/>
  <dc:description/>
  <cp:lastModifiedBy/>
  <cp:revision/>
  <dcterms:created xsi:type="dcterms:W3CDTF">2025-07-10T10:27:52Z</dcterms:created>
  <dcterms:modified xsi:type="dcterms:W3CDTF">2025-10-22T04:23:52Z</dcterms:modified>
  <cp:category/>
  <cp:contentStatus/>
</cp:coreProperties>
</file>